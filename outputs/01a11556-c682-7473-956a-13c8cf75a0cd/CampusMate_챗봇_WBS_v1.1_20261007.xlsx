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c845accd5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업계획" sheetId="1" r:id="R48d8eba0625649f8"/>
    <x:sheet xmlns:r="http://schemas.openxmlformats.org/officeDocument/2006/relationships" name="기준과측정" sheetId="2" r:id="Re0c4722f4c3a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0%"/>
    <x:numFmt numFmtId="203" formatCode="0.0"/>
  </x:numFmts>
  <x:fonts count="4">
    <x:font>
      <x:sz val="11"/>
      <x:name val="Carlito"/>
    </x:font>
    <x:font>
      <x:sz val="11"/>
      <x:color rgb="FF172033"/>
      <x:name val="Arial Unicode MS"/>
    </x:font>
    <x:font>
      <x:b/>
      <x:sz val="16"/>
      <x:color rgb="FF000000"/>
      <x:name val="Arial Unicode MS"/>
    </x:font>
    <x:font>
      <x:b/>
      <x:sz val="11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B"/>
      </x:patternFill>
    </x:fill>
    <x:fill>
      <x:patternFill patternType="solid">
        <x:fgColor rgb="FFFFF6DB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202" fontId="1" fillId="0" borderId="1" xfId="0" applyNumberFormat="1" applyFont="1" applyFill="1" applyBorder="1" applyAlignment="1">
      <x:alignment horizontal="right" vertical="center" wrapText="1"/>
    </x:xf>
    <x:xf numFmtId="203" fontId="1" fillId="0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color rgb="FF8C3B19"/>
      </x:font>
      <x:fill>
        <x:patternFill patternType="solid">
          <x:bgColor rgb="FFFCE7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19af9bcca4500" /><Relationship Type="http://schemas.openxmlformats.org/officeDocument/2006/relationships/theme" Target="/xl/theme/theme1.xml" Id="R8539c0c7c9294247" /><Relationship Type="http://schemas.openxmlformats.org/officeDocument/2006/relationships/sharedStrings" Target="/xl/sharedStrings.xml" Id="R9c6977bd8b004d22" /><Relationship Type="http://schemas.openxmlformats.org/officeDocument/2006/relationships/worksheet" Target="/xl/worksheets/sheet1.xml" Id="R48d8eba0625649f8" /><Relationship Type="http://schemas.openxmlformats.org/officeDocument/2006/relationships/worksheet" Target="/xl/worksheets/sheet2.xml" Id="Re0c4722f4c3a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8000020980835" hidden="0" customWidth="1"/>
    <x:col min="2" max="2" width="7.78000020980835" hidden="0" customWidth="1"/>
    <x:col min="3" max="3" width="25.329999923706055" hidden="0" customWidth="1"/>
    <x:col min="4" max="4" width="9.4399995803833" hidden="0" customWidth="1"/>
    <x:col min="5" max="5" width="9.4399995803833" hidden="0" customWidth="1"/>
    <x:col min="6" max="6" width="10" hidden="0" customWidth="1"/>
    <x:col min="7" max="7" width="37.220001220703125" hidden="0" customWidth="1"/>
    <x:col min="8" max="8" width="10.220000267028809" hidden="0" customWidth="1"/>
    <x:col min="9" max="9" width="3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CampusMate 챗봇 작업계획</x:v>
      </x:c>
      <x:c r="B2" s="5"/>
      <x:c r="C2" s="5"/>
      <x:c r="D2" s="5"/>
      <x:c r="E2" s="5"/>
      <x:c r="F2" s="5"/>
      <x:c r="G2" s="5"/>
      <x:c r="H2" s="5"/>
      <x:c r="I2" s="5"/>
    </x:row>
    <x:row r="3" ht="26" customHeight="1">
      <x:c r="A3" s="6" t="str">
        <x:v>담당·예정일은 팀 확정 후 입력</x:v>
      </x:c>
      <x:c r="B3" s="6"/>
      <x:c r="C3" s="6"/>
      <x:c r="D3" s="6"/>
      <x:c r="E3" s="6"/>
      <x:c r="F3" s="6"/>
      <x:c r="G3" s="8" t="str">
        <x:v>기준일</x:v>
      </x:c>
      <x:c r="H3" s="7" t="n">
        <x:v>46302</x:v>
      </x:c>
      <x:c r="I3" s="6"/>
    </x:row>
    <x:row r="4">
      <x:c r="A4" s="3" t="str">
        <x:v>완료</x:v>
      </x:c>
      <x:c r="B4" s="3" t="n">
        <x:f>COUNTIFS(E7:E26,"완료")</x:f>
        <x:v>3</x:v>
      </x:c>
      <x:c r="C4" s="3" t="str">
        <x:v>구현완료</x:v>
      </x:c>
      <x:c r="D4" s="3" t="n">
        <x:f>COUNTIFS(E7:E26,"구현완료")</x:f>
        <x:v>4</x:v>
      </x:c>
      <x:c r="E4" s="3" t="str">
        <x:v>검증대기</x:v>
      </x:c>
      <x:c r="F4" s="3" t="n">
        <x:f>COUNTIFS(E7:E26,"검증대기")</x:f>
        <x:v>2</x:v>
      </x:c>
      <x:c r="G4" s="3" t="str">
        <x:v>미착수</x:v>
      </x:c>
      <x:c r="H4" s="3" t="n">
        <x:f>COUNTIFS(E7:E26,"미착수")</x:f>
        <x:v>10</x:v>
      </x:c>
      <x:c r="I4" s="3"/>
    </x:row>
    <x:row r="5" ht="26" customHeight="1">
      <x:c r="A5" s="6" t="str">
        <x:v>항목 수 집계이며 전체 진척률·답변 정답률이 아닙니다.</x:v>
      </x:c>
      <x:c r="B5" s="6"/>
      <x:c r="C5" s="6"/>
      <x:c r="D5" s="6"/>
      <x:c r="E5" s="6"/>
      <x:c r="F5" s="6"/>
      <x:c r="G5" s="6"/>
      <x:c r="H5" s="6"/>
      <x:c r="I5" s="6"/>
    </x:row>
    <x:row r="6" ht="28" customHeight="1">
      <x:c r="A6" s="11" t="str">
        <x:v>ID</x:v>
      </x:c>
      <x:c r="B6" s="11" t="str">
        <x:v>우선순위</x:v>
      </x:c>
      <x:c r="C6" s="11" t="str">
        <x:v>작업 제목</x:v>
      </x:c>
      <x:c r="D6" s="11" t="str">
        <x:v>담당 역할</x:v>
      </x:c>
      <x:c r="E6" s="11" t="str">
        <x:v>상태</x:v>
      </x:c>
      <x:c r="F6" s="11" t="str">
        <x:v>선행 작업</x:v>
      </x:c>
      <x:c r="G6" s="11" t="str">
        <x:v>완료 조건</x:v>
      </x:c>
      <x:c r="H6" s="11" t="str">
        <x:v>예정일</x:v>
      </x:c>
      <x:c r="I6" s="11" t="str">
        <x:v>근거</x:v>
      </x:c>
    </x:row>
    <x:row r="7" ht="64" customHeight="1">
      <x:c r="A7" s="16" t="str">
        <x:v>B01</x:v>
      </x:c>
      <x:c r="B7" s="16" t="str">
        <x:v>기반</x:v>
      </x:c>
      <x:c r="C7" s="17" t="str">
        <x:v>공식 자료 수집·첨부 추출</x:v>
      </x:c>
      <x:c r="D7" s="18" t="str">
        <x:v>데이터</x:v>
      </x:c>
      <x:c r="E7" s="18" t="str">
        <x:v>구현완료</x:v>
      </x:c>
      <x:c r="F7" s="16" t="str">
        <x:v>없음</x:v>
      </x:c>
      <x:c r="G7" s="17" t="str">
        <x:v>공지·안내·FAQ·서식 수집과 PDF/HWP/이미지 처리 구현</x:v>
      </x:c>
      <x:c r="H7" s="19"/>
      <x:c r="I7" s="17" t="str">
        <x:v>crawler/; core/extractor/</x:v>
      </x:c>
    </x:row>
    <x:row r="8" ht="64" customHeight="1">
      <x:c r="A8" s="16" t="str">
        <x:v>B02</x:v>
      </x:c>
      <x:c r="B8" s="16" t="str">
        <x:v>기반</x:v>
      </x:c>
      <x:c r="C8" s="17" t="str">
        <x:v>통합 지식과 벡터 DB</x:v>
      </x:c>
      <x:c r="D8" s="18" t="str">
        <x:v>데이터·BE</x:v>
      </x:c>
      <x:c r="E8" s="18" t="str">
        <x:v>구현완료</x:v>
      </x:c>
      <x:c r="F8" s="16" t="str">
        <x:v>B01</x:v>
      </x:c>
      <x:c r="G8" s="17" t="str">
        <x:v>1,366문서·3,447청크 정합성 확인. 자료 최신성은 별도</x:v>
      </x:c>
      <x:c r="H8" s="19"/>
      <x:c r="I8" s="17" t="str">
        <x:v>data/unified_manifest.json</x:v>
      </x:c>
    </x:row>
    <x:row r="9" ht="72" customHeight="1">
      <x:c r="A9" s="16" t="str">
        <x:v>B03</x:v>
      </x:c>
      <x:c r="B9" s="16" t="str">
        <x:v>기반</x:v>
      </x:c>
      <x:c r="C9" s="17" t="str">
        <x:v>검색·근거 답변·유보</x:v>
      </x:c>
      <x:c r="D9" s="18" t="str">
        <x:v>AI·BE</x:v>
      </x:c>
      <x:c r="E9" s="18" t="str">
        <x:v>구현완료</x:v>
      </x:c>
      <x:c r="F9" s="16" t="str">
        <x:v>B02</x:v>
      </x:c>
      <x:c r="G9" s="17" t="str">
        <x:v>연도·학기 보정, 출처 카드, 근거 부족·API 오류 처리</x:v>
      </x:c>
      <x:c r="H9" s="19"/>
      <x:c r="I9" s="17" t="str">
        <x:v>core/rag.py; core/prompts.py</x:v>
      </x:c>
    </x:row>
    <x:row r="10" ht="72" customHeight="1">
      <x:c r="A10" s="16" t="str">
        <x:v>B04</x:v>
      </x:c>
      <x:c r="B10" s="16" t="str">
        <x:v>기반</x:v>
      </x:c>
      <x:c r="C10" s="17" t="str">
        <x:v>웹과 챗봇 API</x:v>
      </x:c>
      <x:c r="D10" s="18" t="str">
        <x:v>FE·BE</x:v>
      </x:c>
      <x:c r="E10" s="18" t="str">
        <x:v>구현완료</x:v>
      </x:c>
      <x:c r="F10" s="16" t="str">
        <x:v>B03</x:v>
      </x:c>
      <x:c r="G10" s="17" t="str">
        <x:v>React 질문·답변·원문 확인 및 FastAPI 익명 요청 구현</x:v>
      </x:c>
      <x:c r="H10" s="19"/>
      <x:c r="I10" s="17" t="str">
        <x:v>frontend-web/src/App.tsx; backend/main.py</x:v>
      </x:c>
    </x:row>
    <x:row r="11" ht="72" customHeight="1">
      <x:c r="A11" s="16" t="str">
        <x:v>B05</x:v>
      </x:c>
      <x:c r="B11" s="16" t="str">
        <x:v>기반</x:v>
      </x:c>
      <x:c r="C11" s="17" t="str">
        <x:v>챗봇 전용 제품 분리</x:v>
      </x:c>
      <x:c r="D11" s="18" t="str">
        <x:v>공통</x:v>
      </x:c>
      <x:c r="E11" s="18" t="str">
        <x:v>완료</x:v>
      </x:c>
      <x:c r="F11" s="16" t="str">
        <x:v>B04</x:v>
      </x:c>
      <x:c r="G11" s="17" t="str">
        <x:v>인증·개인 일정·캘린더·알림 기본 실행에서 제외</x:v>
      </x:c>
      <x:c r="H11" s="19"/>
      <x:c r="I11" s="17" t="str">
        <x:v>docs/codex_chatbot_separation_report_20260927.md</x:v>
      </x:c>
    </x:row>
    <x:row r="12" ht="72" customHeight="1">
      <x:c r="A12" s="16" t="str">
        <x:v>B06</x:v>
      </x:c>
      <x:c r="B12" s="16" t="str">
        <x:v>기반</x:v>
      </x:c>
      <x:c r="C12" s="17" t="str">
        <x:v>선별 오프라인 회귀 검사</x:v>
      </x:c>
      <x:c r="D12" s="18" t="str">
        <x:v>QA</x:v>
      </x:c>
      <x:c r="E12" s="18" t="str">
        <x:v>완료</x:v>
      </x:c>
      <x:c r="F12" s="16" t="str">
        <x:v>B05</x:v>
      </x:c>
      <x:c r="G12" s="17" t="str">
        <x:v>2026-10-07 5개 파일 65 passed. 실제 LLM 평가와 구분</x:v>
      </x:c>
      <x:c r="H12" s="19"/>
      <x:c r="I12" s="17" t="str">
        <x:v>docs/campusmate_chatbot_progress_and_tasks_20261007.md</x:v>
      </x:c>
    </x:row>
    <x:row r="13" ht="72" customHeight="1">
      <x:c r="A13" s="16" t="str">
        <x:v>P001</x:v>
      </x:c>
      <x:c r="B13" s="16" t="str">
        <x:v>P0</x:v>
      </x:c>
      <x:c r="C13" s="17" t="str">
        <x:v>기준 산출물 통일</x:v>
      </x:c>
      <x:c r="D13" s="18" t="str">
        <x:v>PM·문서</x:v>
      </x:c>
      <x:c r="E13" s="18" t="str">
        <x:v>완료</x:v>
      </x:c>
      <x:c r="F13" s="16" t="str">
        <x:v>B05</x:v>
      </x:c>
      <x:c r="G13" s="17" t="str">
        <x:v>PRD·계획서·발표·마일스톤·WBS·대본의 범위와 수치 일치</x:v>
      </x:c>
      <x:c r="H13" s="19"/>
      <x:c r="I13" s="17" t="str">
        <x:v>docs/chatbot_release_20261007/README.md</x:v>
      </x:c>
    </x:row>
    <x:row r="14" ht="72" customHeight="1">
      <x:c r="A14" s="16" t="str">
        <x:v>P002</x:v>
      </x:c>
      <x:c r="B14" s="16" t="str">
        <x:v>P0</x:v>
      </x:c>
      <x:c r="C14" s="17" t="str">
        <x:v>핵심 공지·학교정보 갱신</x:v>
      </x:c>
      <x:c r="D14" s="18" t="str">
        <x:v>데이터</x:v>
      </x:c>
      <x:c r="E14" s="18" t="str">
        <x:v>미착수</x:v>
      </x:c>
      <x:c r="F14" s="16" t="str">
        <x:v>B01</x:v>
      </x:c>
      <x:c r="G14" s="17" t="str">
        <x:v>9/15 이후 자료와 주요 5대 주제 갱신, 실패·확인일 기록</x:v>
      </x:c>
      <x:c r="H14" s="19"/>
      <x:c r="I14" s="17" t="str">
        <x:v>data/unified_campus_knowledge.json</x:v>
      </x:c>
    </x:row>
    <x:row r="15" ht="72" customHeight="1">
      <x:c r="A15" s="16" t="str">
        <x:v>P003</x:v>
      </x:c>
      <x:c r="B15" s="16" t="str">
        <x:v>P0</x:v>
      </x:c>
      <x:c r="C15" s="17" t="str">
        <x:v>신규 공지를 통합 입력에 연결</x:v>
      </x:c>
      <x:c r="D15" s="18" t="str">
        <x:v>데이터·BE</x:v>
      </x:c>
      <x:c r="E15" s="18" t="str">
        <x:v>미착수</x:v>
      </x:c>
      <x:c r="F15" s="16" t="str">
        <x:v>P002</x:v>
      </x:c>
      <x:c r="G15" s="17" t="str">
        <x:v>crawled_notices_enriched 입력과 기존 자료 URL·정정본 병합</x:v>
      </x:c>
      <x:c r="H15" s="19"/>
      <x:c r="I15" s="17" t="str">
        <x:v>scripts/build_unified_dataset.py; .github/workflows/crawl.yml</x:v>
      </x:c>
    </x:row>
    <x:row r="16" ht="72" customHeight="1">
      <x:c r="A16" s="16" t="str">
        <x:v>P004</x:v>
      </x:c>
      <x:c r="B16" s="16" t="str">
        <x:v>P0</x:v>
      </x:c>
      <x:c r="C16" s="17" t="str">
        <x:v>본문 미확보·OCR 핵심 오류 보강</x:v>
      </x:c>
      <x:c r="D16" s="18" t="str">
        <x:v>데이터·QA</x:v>
      </x:c>
      <x:c r="E16" s="18" t="str">
        <x:v>미착수</x:v>
      </x:c>
      <x:c r="F16" s="16" t="str">
        <x:v>P002</x:v>
      </x:c>
      <x:c r="G16" s="17" t="str">
        <x:v>제목만202건 중 주요질문 자료 우선, 날짜·시각 원문 대조</x:v>
      </x:c>
      <x:c r="H16" s="19"/>
      <x:c r="I16" s="17" t="str">
        <x:v>data/unified_manifest.json; docs/campusmate_evaluation_baseline.md</x:v>
      </x:c>
    </x:row>
    <x:row r="17" ht="72" customHeight="1">
      <x:c r="A17" s="16" t="str">
        <x:v>P005</x:v>
      </x:c>
      <x:c r="B17" s="16" t="str">
        <x:v>P0</x:v>
      </x:c>
      <x:c r="C17" s="17" t="str">
        <x:v>실제 LLM 평가와 오류 기록</x:v>
      </x:c>
      <x:c r="D17" s="18" t="str">
        <x:v>AI·QA</x:v>
      </x:c>
      <x:c r="E17" s="18" t="str">
        <x:v>검증대기</x:v>
      </x:c>
      <x:c r="F17" s="16" t="str">
        <x:v>P003,P004</x:v>
      </x:c>
      <x:c r="G17" s="17" t="str">
        <x:v>30~50질문 평가. 근거지지90% 목표, 오류·미실행 별도 집계</x:v>
      </x:c>
      <x:c r="H17" s="19"/>
      <x:c r="I17" s="17" t="str">
        <x:v>docs/저학년의_반란_CampusMate_챗봇_PRD_v1.1_20260927.docx</x:v>
      </x:c>
    </x:row>
    <x:row r="18" ht="72" customHeight="1">
      <x:c r="A18" s="16" t="str">
        <x:v>P101</x:v>
      </x:c>
      <x:c r="B18" s="16" t="str">
        <x:v>P1</x:v>
      </x:c>
      <x:c r="C18" s="17" t="str">
        <x:v>검색·답변 조건 혼입 개선</x:v>
      </x:c>
      <x:c r="D18" s="18" t="str">
        <x:v>AI·BE</x:v>
      </x:c>
      <x:c r="E18" s="18" t="str">
        <x:v>미착수</x:v>
      </x:c>
      <x:c r="F18" s="16" t="str">
        <x:v>P005</x:v>
      </x:c>
      <x:c r="G18" s="17" t="str">
        <x:v>연도·대상·제외조건·복합날짜 오답을 동일질문 전후비교</x:v>
      </x:c>
      <x:c r="H18" s="19"/>
      <x:c r="I18" s="17" t="str">
        <x:v>docs/gemini_core5_live_review.md</x:v>
      </x:c>
    </x:row>
    <x:row r="19" ht="72" customHeight="1">
      <x:c r="A19" s="16" t="str">
        <x:v>P102</x:v>
      </x:c>
      <x:c r="B19" s="16" t="str">
        <x:v>P1</x:v>
      </x:c>
      <x:c r="C19" s="17" t="str">
        <x:v>입력·통신·동시 요청 안정화</x:v>
      </x:c>
      <x:c r="D19" s="18" t="str">
        <x:v>FE·BE</x:v>
      </x:c>
      <x:c r="E19" s="18" t="str">
        <x:v>미착수</x:v>
      </x:c>
      <x:c r="F19" s="16" t="str">
        <x:v>B04</x:v>
      </x:c>
      <x:c r="G19" s="17" t="str">
        <x:v>500자 안내, 시간 제한·재시도, 동기생성 요청간 영향 확인</x:v>
      </x:c>
      <x:c r="H19" s="19"/>
      <x:c r="I19" s="17" t="str">
        <x:v>frontend-web/src/App.tsx; backend/main.py</x:v>
      </x:c>
    </x:row>
    <x:row r="20" ht="72" customHeight="1">
      <x:c r="A20" s="16" t="str">
        <x:v>P103</x:v>
      </x:c>
      <x:c r="B20" s="16" t="str">
        <x:v>P1</x:v>
      </x:c>
      <x:c r="C20" s="17" t="str">
        <x:v>Gemini 배포 설정 정합성</x:v>
      </x:c>
      <x:c r="D20" s="18" t="str">
        <x:v>BE·운영</x:v>
      </x:c>
      <x:c r="E20" s="18" t="str">
        <x:v>미착수</x:v>
      </x:c>
      <x:c r="F20" s="16" t="str">
        <x:v>B05</x:v>
      </x:c>
      <x:c r="G20" s="17" t="str">
        <x:v>LLM_PROVIDER와 GEMINI_MODEL 명시, 키 환경변수 주입</x:v>
      </x:c>
      <x:c r="H20" s="19"/>
      <x:c r="I20" s="17" t="str">
        <x:v>config.py; docker-compose.yml</x:v>
      </x:c>
    </x:row>
    <x:row r="21" ht="72" customHeight="1">
      <x:c r="A21" s="16" t="str">
        <x:v>P104</x:v>
      </x:c>
      <x:c r="B21" s="16" t="str">
        <x:v>P1</x:v>
      </x:c>
      <x:c r="C21" s="17" t="str">
        <x:v>Cloudtype 무료 환경 자원 검증</x:v>
      </x:c>
      <x:c r="D21" s="18" t="str">
        <x:v>BE·운영</x:v>
      </x:c>
      <x:c r="E21" s="18" t="str">
        <x:v>검증대기</x:v>
      </x:c>
      <x:c r="F21" s="16" t="str">
        <x:v>P103</x:v>
      </x:c>
      <x:c r="G21" s="17" t="str">
        <x:v>최신 AMD64 이미지·1GB RAM/디스크·첫응답·재시작 측정</x:v>
      </x:c>
      <x:c r="H21" s="19"/>
      <x:c r="I21" s="17" t="str">
        <x:v>https://cloudtype.io/pricing</x:v>
      </x:c>
    </x:row>
    <x:row r="22" ht="72" customHeight="1">
      <x:c r="A22" s="16" t="str">
        <x:v>P105</x:v>
      </x:c>
      <x:c r="B22" s="16" t="str">
        <x:v>P1</x:v>
      </x:c>
      <x:c r="C22" s="17" t="str">
        <x:v>최신 챗봇판 검증용 배포</x:v>
      </x:c>
      <x:c r="D22" s="18" t="str">
        <x:v>BE·운영</x:v>
      </x:c>
      <x:c r="E22" s="18" t="str">
        <x:v>미착수</x:v>
      </x:c>
      <x:c r="F22" s="16" t="str">
        <x:v>P104</x:v>
      </x:c>
      <x:c r="G22" s="17" t="str">
        <x:v>실제 질문·공식링크·모바일 확인. /health만으로 완료판정 금지</x:v>
      </x:c>
      <x:c r="H22" s="19"/>
      <x:c r="I22" s="17" t="str">
        <x:v>docs/campusmate_local_container_guide.md</x:v>
      </x:c>
    </x:row>
    <x:row r="23" ht="72" customHeight="1">
      <x:c r="A23" s="16" t="str">
        <x:v>P106</x:v>
      </x:c>
      <x:c r="B23" s="16" t="str">
        <x:v>P1</x:v>
      </x:c>
      <x:c r="C23" s="17" t="str">
        <x:v>수집부터 서비스 반영과 복구</x:v>
      </x:c>
      <x:c r="D23" s="18" t="str">
        <x:v>데이터·운영</x:v>
      </x:c>
      <x:c r="E23" s="18" t="str">
        <x:v>미착수</x:v>
      </x:c>
      <x:c r="F23" s="16" t="str">
        <x:v>P003,P105</x:v>
      </x:c>
      <x:c r="G23" s="17" t="str">
        <x:v>새 통합본·새 DB 검증 후 전환, 자료버전 확인·롤백</x:v>
      </x:c>
      <x:c r="H23" s="19"/>
      <x:c r="I23" s="17" t="str">
        <x:v>README.md; .github/workflows/official-site.yml</x:v>
      </x:c>
    </x:row>
    <x:row r="24" ht="72" customHeight="1">
      <x:c r="A24" s="16" t="str">
        <x:v>P107</x:v>
      </x:c>
      <x:c r="B24" s="16" t="str">
        <x:v>P1</x:v>
      </x:c>
      <x:c r="C24" s="17" t="str">
        <x:v>학생 사용자 테스트</x:v>
      </x:c>
      <x:c r="D24" s="18" t="str">
        <x:v>QA·FE</x:v>
      </x:c>
      <x:c r="E24" s="18" t="str">
        <x:v>미착수</x:v>
      </x:c>
      <x:c r="F24" s="16" t="str">
        <x:v>P005,P105</x:v>
      </x:c>
      <x:c r="G24" s="17" t="str">
        <x:v>10명 이상 질문→답변→원문확인, 만족4.0/5 목표·결함수정</x:v>
      </x:c>
      <x:c r="H24" s="19"/>
      <x:c r="I24" s="17" t="str">
        <x:v>docs/저학년의_반란_CampusMate_챗봇_PRD_v1.1_20260927.docx</x:v>
      </x:c>
    </x:row>
    <x:row r="25" ht="72" customHeight="1">
      <x:c r="A25" s="16" t="str">
        <x:v>P108</x:v>
      </x:c>
      <x:c r="B25" s="16" t="str">
        <x:v>P1</x:v>
      </x:c>
      <x:c r="C25" s="17" t="str">
        <x:v>실측 결과와 최종 발표 반영</x:v>
      </x:c>
      <x:c r="D25" s="18" t="str">
        <x:v>PM·공통</x:v>
      </x:c>
      <x:c r="E25" s="18" t="str">
        <x:v>미착수</x:v>
      </x:c>
      <x:c r="F25" s="16" t="str">
        <x:v>P107</x:v>
      </x:c>
      <x:c r="G25" s="17" t="str">
        <x:v>목표/실적/한계를 구분한 최종 보고·시연·라이선스 확인</x:v>
      </x:c>
      <x:c r="H25" s="19"/>
      <x:c r="I25" s="17" t="str">
        <x:v>docs/chatbot_release_20261007/</x:v>
      </x:c>
    </x:row>
    <x:row r="26" ht="72" customHeight="1">
      <x:c r="A26" s="16" t="str">
        <x:v>P201</x:v>
      </x:c>
      <x:c r="B26" s="16" t="str">
        <x:v>P2</x:v>
      </x:c>
      <x:c r="C26" s="17" t="str">
        <x:v>평가에 따른 검색·대화 고도화</x:v>
      </x:c>
      <x:c r="D26" s="18" t="str">
        <x:v>AI·FE</x:v>
      </x:c>
      <x:c r="E26" s="18" t="str">
        <x:v>후속</x:v>
      </x:c>
      <x:c r="F26" s="16" t="str">
        <x:v>P005</x:v>
      </x:c>
      <x:c r="G26" s="17" t="str">
        <x:v>실패질문을 기준으로 BM25·표청킹·스트리밍·맥락 선택</x:v>
      </x:c>
      <x:c r="H26" s="19"/>
      <x:c r="I26" s="17" t="str">
        <x:v>docs/campusmate_improvement_plan_20260923.md</x:v>
      </x:c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</x:row>
  </x:sheetData>
  <x:conditionalFormatting sqref="E7:E26">
    <x:cfRule type="containsText" dxfId="0" priority="1" operator="containsText" text="검증대기"/>
  </x:conditionalFormatting>
  <x:dataValidations count="1">
    <x:dataValidation type="list" sqref="E7:E26">
      <x:formula1>"완료,구현완료,진행중,검증대기,미착수,후속"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0.219999313354492" hidden="0" customWidth="1"/>
    <x:col min="3" max="3" width="17.219999313354492" hidden="0" customWidth="1"/>
    <x:col min="4" max="4" width="8.4399995803833" hidden="0" customWidth="1"/>
    <x:col min="5" max="5" width="33.33000183105469" hidden="0" customWidth="1"/>
    <x:col min="6" max="6" width="37.779998779296875" hidden="0" customWidth="1"/>
  </x:cols>
  <x:sheetData>
    <x:row r="1">
      <x:c r="A1" s="3"/>
      <x:c r="B1" s="3"/>
      <x:c r="C1" s="3"/>
      <x:c r="D1" s="3"/>
      <x:c r="E1" s="3"/>
      <x:c r="F1" s="3"/>
    </x:row>
    <x:row r="2" ht="36" customHeight="1">
      <x:c r="A2" s="5" t="str">
        <x:v>CampusMate 기준과 측정</x:v>
      </x:c>
      <x:c r="B2" s="5"/>
      <x:c r="C2" s="5"/>
      <x:c r="D2" s="5"/>
      <x:c r="E2" s="5"/>
      <x:c r="F2" s="5"/>
    </x:row>
    <x:row r="3" ht="26" customHeight="1">
      <x:c r="A3" s="6" t="str">
        <x:v>기준일 2026-10-07. 실적과 목표를 구분합니다.</x:v>
      </x:c>
      <x:c r="B3" s="6"/>
      <x:c r="C3" s="6"/>
      <x:c r="D3" s="6"/>
      <x:c r="E3" s="6"/>
      <x:c r="F3" s="6"/>
    </x:row>
    <x:row r="4">
      <x:c r="A4" s="3"/>
      <x:c r="B4" s="3"/>
      <x:c r="C4" s="3"/>
      <x:c r="D4" s="3"/>
      <x:c r="E4" s="3"/>
      <x:c r="F4" s="3"/>
    </x:row>
    <x:row r="5" ht="28" customHeight="1">
      <x:c r="A5" s="11" t="str">
        <x:v>구분</x:v>
      </x:c>
      <x:c r="B5" s="11" t="str">
        <x:v>항목</x:v>
      </x:c>
      <x:c r="C5" s="11" t="str">
        <x:v>값</x:v>
      </x:c>
      <x:c r="D5" s="11" t="str">
        <x:v>단위</x:v>
      </x:c>
      <x:c r="E5" s="11" t="str">
        <x:v>의미·상태</x:v>
      </x:c>
      <x:c r="F5" s="11" t="str">
        <x:v>근거</x:v>
      </x:c>
    </x:row>
    <x:row r="6" ht="52" customHeight="1">
      <x:c r="A6" s="28" t="str">
        <x:v>실적</x:v>
      </x:c>
      <x:c r="B6" s="28" t="str">
        <x:v>통합 문서</x:v>
      </x:c>
      <x:c r="C6" s="29" t="n">
        <x:v>1366</x:v>
      </x:c>
      <x:c r="D6" s="17" t="str">
        <x:v>문서</x:v>
      </x:c>
      <x:c r="E6" s="17" t="str">
        <x:v>9/15 로컬 스냅샷</x:v>
      </x:c>
      <x:c r="F6" s="17" t="str">
        <x:v>data/unified_manifest.json</x:v>
      </x:c>
    </x:row>
    <x:row r="7" ht="52" customHeight="1">
      <x:c r="A7" s="28" t="str">
        <x:v>실적</x:v>
      </x:c>
      <x:c r="B7" s="28" t="str">
        <x:v>공지</x:v>
      </x:c>
      <x:c r="C7" s="29" t="n">
        <x:v>986</x:v>
      </x:c>
      <x:c r="D7" s="17" t="str">
        <x:v>문서</x:v>
      </x:c>
      <x:c r="E7" s="17" t="str">
        <x:v>2127 909 / 2128 67 / 2203 10</x:v>
      </x:c>
      <x:c r="F7" s="17" t="str">
        <x:v>data/unified_campus_knowledge.json</x:v>
      </x:c>
    </x:row>
    <x:row r="8" ht="52" customHeight="1">
      <x:c r="A8" s="28" t="str">
        <x:v>실적</x:v>
      </x:c>
      <x:c r="B8" s="28" t="str">
        <x:v>상시 안내</x:v>
      </x:c>
      <x:c r="C8" s="29" t="n">
        <x:v>144</x:v>
      </x:c>
      <x:c r="D8" s="17" t="str">
        <x:v>문서</x:v>
      </x:c>
      <x:c r="E8" s="17" t="str">
        <x:v>수강·졸업·휴복학 등 안내</x:v>
      </x:c>
      <x:c r="F8" s="17" t="str">
        <x:v>data/unified_manifest.json</x:v>
      </x:c>
    </x:row>
    <x:row r="9" ht="52" customHeight="1">
      <x:c r="A9" s="28" t="str">
        <x:v>실적</x:v>
      </x:c>
      <x:c r="B9" s="28" t="str">
        <x:v>FAQ</x:v>
      </x:c>
      <x:c r="C9" s="29" t="n">
        <x:v>179</x:v>
      </x:c>
      <x:c r="D9" s="17" t="str">
        <x:v>문서</x:v>
      </x:c>
      <x:c r="E9" s="17" t="str">
        <x:v>공식 학사 질의응답</x:v>
      </x:c>
      <x:c r="F9" s="17" t="str">
        <x:v>data/unified_manifest.json</x:v>
      </x:c>
    </x:row>
    <x:row r="10" ht="52" customHeight="1">
      <x:c r="A10" s="28" t="str">
        <x:v>실적</x:v>
      </x:c>
      <x:c r="B10" s="28" t="str">
        <x:v>학사 서식</x:v>
      </x:c>
      <x:c r="C10" s="29" t="n">
        <x:v>57</x:v>
      </x:c>
      <x:c r="D10" s="17" t="str">
        <x:v>문서</x:v>
      </x:c>
      <x:c r="E10" s="17" t="str">
        <x:v>서식·첨부 자료</x:v>
      </x:c>
      <x:c r="F10" s="17" t="str">
        <x:v>data/unified_manifest.json</x:v>
      </x:c>
    </x:row>
    <x:row r="11" ht="52" customHeight="1">
      <x:c r="A11" s="28" t="str">
        <x:v>실적</x:v>
      </x:c>
      <x:c r="B11" s="28" t="str">
        <x:v>제목만 확보</x:v>
      </x:c>
      <x:c r="C11" s="29" t="n">
        <x:v>202</x:v>
      </x:c>
      <x:c r="D11" s="17" t="str">
        <x:v>문서</x:v>
      </x:c>
      <x:c r="E11" s="17" t="str">
        <x:v>전부 공지. 상세 조건 유보</x:v>
      </x:c>
      <x:c r="F11" s="17" t="str">
        <x:v>data/unified_manifest.json</x:v>
      </x:c>
    </x:row>
    <x:row r="12" ht="52" customHeight="1">
      <x:c r="A12" s="28" t="str">
        <x:v>계산</x:v>
      </x:c>
      <x:c r="B12" s="28" t="str">
        <x:v>제목만 확보 비율</x:v>
      </x:c>
      <x:c r="C12" s="30" t="n">
        <x:f>C11/C6</x:f>
        <x:v>0.1478770131771596</x:v>
      </x:c>
      <x:c r="D12" s="17" t="str">
        <x:v>비율</x:v>
      </x:c>
      <x:c r="E12" s="17" t="str">
        <x:v>통합 문서 기준</x:v>
      </x:c>
      <x:c r="F12" s="17" t="str">
        <x:v>위 실적 값</x:v>
      </x:c>
    </x:row>
    <x:row r="13" ht="52" customHeight="1">
      <x:c r="A13" s="28" t="str">
        <x:v>실적</x:v>
      </x:c>
      <x:c r="B13" s="28" t="str">
        <x:v>본문·보강 상태</x:v>
      </x:c>
      <x:c r="C13" s="29" t="n">
        <x:v>1164</x:v>
      </x:c>
      <x:c r="D13" s="17" t="str">
        <x:v>문서</x:v>
      </x:c>
      <x:c r="E13" s="17" t="str">
        <x:v>완전성·OCR 정확도와 별개</x:v>
      </x:c>
      <x:c r="F13" s="17" t="str">
        <x:v>data/unified_manifest.json</x:v>
      </x:c>
    </x:row>
    <x:row r="14" ht="52" customHeight="1">
      <x:c r="A14" s="28" t="str">
        <x:v>실적</x:v>
      </x:c>
      <x:c r="B14" s="28" t="str">
        <x:v>벡터 청크</x:v>
      </x:c>
      <x:c r="C14" s="29" t="n">
        <x:v>3447</x:v>
      </x:c>
      <x:c r="D14" s="17" t="str">
        <x:v>청크</x:v>
      </x:c>
      <x:c r="E14" s="17" t="str">
        <x:v>현재 기본 campus_knowledge</x:v>
      </x:c>
      <x:c r="F14" s="17" t="str">
        <x:v>data/integrated_eval_chroma_db/ingest_report.json</x:v>
      </x:c>
    </x:row>
    <x:row r="15" ht="52" customHeight="1">
      <x:c r="A15" s="28" t="str">
        <x:v>실적</x:v>
      </x:c>
      <x:c r="B15" s="28" t="str">
        <x:v>선별 회귀 검사</x:v>
      </x:c>
      <x:c r="C15" s="29" t="n">
        <x:v>65</x:v>
      </x:c>
      <x:c r="D15" s="17" t="str">
        <x:v>테스트</x:v>
      </x:c>
      <x:c r="E15" s="17" t="str">
        <x:v>10/7 통과, 1 warning, 실제 LLM 평가 아님</x:v>
      </x:c>
      <x:c r="F15" s="17" t="str">
        <x:v>docs/campusmate_chatbot_progress_and_tasks_20261007.md</x:v>
      </x:c>
    </x:row>
    <x:row r="16" ht="52" customHeight="1">
      <x:c r="A16" s="28" t="str">
        <x:v>목표</x:v>
      </x:c>
      <x:c r="B16" s="28" t="str">
        <x:v>대표 평가 질문 하한</x:v>
      </x:c>
      <x:c r="C16" s="29" t="n">
        <x:v>30</x:v>
      </x:c>
      <x:c r="D16" s="17" t="str">
        <x:v>질문</x:v>
      </x:c>
      <x:c r="E16" s="17" t="str">
        <x:v>30~50문항으로 계획</x:v>
      </x:c>
      <x:c r="F16" s="17" t="str">
        <x:v>챗봇 PRD v1.1</x:v>
      </x:c>
    </x:row>
    <x:row r="17" ht="52" customHeight="1">
      <x:c r="A17" s="28" t="str">
        <x:v>목표</x:v>
      </x:c>
      <x:c r="B17" s="28" t="str">
        <x:v>근거 지지 답변</x:v>
      </x:c>
      <x:c r="C17" s="31" t="n">
        <x:v>0.9</x:v>
      </x:c>
      <x:c r="D17" s="17" t="str">
        <x:v>비율</x:v>
      </x:c>
      <x:c r="E17" s="17" t="str">
        <x:v>현재판 달성 미검증</x:v>
      </x:c>
      <x:c r="F17" s="17" t="str">
        <x:v>챗봇 PRD v1.1</x:v>
      </x:c>
    </x:row>
    <x:row r="18" ht="52" customHeight="1">
      <x:c r="A18" s="28" t="str">
        <x:v>목표</x:v>
      </x:c>
      <x:c r="B18" s="28" t="str">
        <x:v>사용자 테스트 하한</x:v>
      </x:c>
      <x:c r="C18" s="29" t="n">
        <x:v>10</x:v>
      </x:c>
      <x:c r="D18" s="17" t="str">
        <x:v>명</x:v>
      </x:c>
      <x:c r="E18" s="17" t="str">
        <x:v>현재 미실시</x:v>
      </x:c>
      <x:c r="F18" s="17" t="str">
        <x:v>챗봇 PRD v1.1</x:v>
      </x:c>
    </x:row>
    <x:row r="19" ht="52" customHeight="1">
      <x:c r="A19" s="28" t="str">
        <x:v>목표</x:v>
      </x:c>
      <x:c r="B19" s="28" t="str">
        <x:v>만족도</x:v>
      </x:c>
      <x:c r="C19" s="32" t="n">
        <x:v>4</x:v>
      </x:c>
      <x:c r="D19" s="17" t="str">
        <x:v>5점 만점</x:v>
      </x:c>
      <x:c r="E19" s="17" t="str">
        <x:v>현재 미측정</x:v>
      </x:c>
      <x:c r="F19" s="17" t="str">
        <x:v>챗봇 PRD v1.1</x:v>
      </x:c>
    </x:row>
    <x:row r="20" ht="52" customHeight="1">
      <x:c r="A20" s="28" t="str">
        <x:v>설정</x:v>
      </x:c>
      <x:c r="B20" s="28" t="str">
        <x:v>생성 LLM</x:v>
      </x:c>
      <x:c r="C20" s="17" t="str">
        <x:v>Gemini API</x:v>
      </x:c>
      <x:c r="D20" s="17" t="str"/>
      <x:c r="E20" s="17" t="str">
        <x:v>로컬 .env provider gemini 확인</x:v>
      </x:c>
      <x:c r="F20" s="17" t="str">
        <x:v>config.py; 환경 설정 허용키 확인</x:v>
      </x:c>
    </x:row>
    <x:row r="21" ht="52" customHeight="1">
      <x:c r="A21" s="28" t="str">
        <x:v>설정</x:v>
      </x:c>
      <x:c r="B21" s="28" t="str">
        <x:v>검색 임베딩</x:v>
      </x:c>
      <x:c r="C21" s="17" t="str">
        <x:v>ko-sroberta</x:v>
      </x:c>
      <x:c r="D21" s="17" t="str"/>
      <x:c r="E21" s="17" t="str">
        <x:v>서버 실행, 생성 LLM과 구분</x:v>
      </x:c>
      <x:c r="F21" s="17" t="str">
        <x:v>config.py; core/rag.py</x:v>
      </x:c>
    </x:row>
    <x:row r="22" ht="52" customHeight="1">
      <x:c r="A22" s="28" t="str">
        <x:v>미검증</x:v>
      </x:c>
      <x:c r="B22" s="28" t="str">
        <x:v>최신판 외부 배포</x:v>
      </x:c>
      <x:c r="C22" s="17" t="str">
        <x:v>검증대기</x:v>
      </x:c>
      <x:c r="D22" s="17" t="str"/>
      <x:c r="E22" s="17" t="str">
        <x:v>무료티어는 자원·재시작 검증 필요</x:v>
      </x:c>
      <x:c r="F22" s="17" t="str">
        <x:v>docs/campusmate_local_container_guide.md</x:v>
      </x:c>
    </x:row>
    <x:row r="23">
      <x:c r="A23" s="3"/>
      <x:c r="B23" s="3"/>
      <x:c r="C23" s="3"/>
      <x:c r="D23" s="3"/>
      <x:c r="E23" s="3"/>
      <x:c r="F23" s="3"/>
    </x:row>
  </x:sheetData>
  <x:pageMargins left="0.7" right="0.7" top="0.75" bottom="0.75" header="0.3" footer="0.3"/>
</x:worksheet>
</file>