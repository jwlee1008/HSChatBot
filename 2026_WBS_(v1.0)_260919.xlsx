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11FDD58F-7303-4D09-8941-0DB8B5B83F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갠트 차트 템플릿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3" i="1"/>
  <c r="F5" i="1"/>
  <c r="G29" i="1"/>
  <c r="G28" i="1"/>
  <c r="G27" i="1"/>
  <c r="G26" i="1"/>
  <c r="H25" i="1"/>
  <c r="F25" i="1"/>
  <c r="E25" i="1"/>
  <c r="G24" i="1"/>
  <c r="G23" i="1"/>
  <c r="G22" i="1"/>
  <c r="G21" i="1"/>
  <c r="G20" i="1"/>
  <c r="G19" i="1"/>
  <c r="H18" i="1"/>
  <c r="F18" i="1"/>
  <c r="G17" i="1"/>
  <c r="G16" i="1"/>
  <c r="G15" i="1"/>
  <c r="G14" i="1"/>
  <c r="H13" i="1"/>
  <c r="F13" i="1"/>
  <c r="G12" i="1"/>
  <c r="G11" i="1"/>
  <c r="G10" i="1"/>
  <c r="G9" i="1"/>
  <c r="G8" i="1"/>
  <c r="G7" i="1"/>
  <c r="G6" i="1"/>
  <c r="H5" i="1"/>
</calcChain>
</file>

<file path=xl/sharedStrings.xml><?xml version="1.0" encoding="utf-8"?>
<sst xmlns="http://schemas.openxmlformats.org/spreadsheetml/2006/main" count="140" uniqueCount="127">
  <si>
    <t>WBS</t>
  </si>
  <si>
    <t>프로젝트 이름</t>
  </si>
  <si>
    <t>Compus RAG</t>
  </si>
  <si>
    <t>조명</t>
  </si>
  <si>
    <t>박성주, 이정환, 유우상, 서윤호</t>
  </si>
  <si>
    <t>프로젝트 관리자</t>
  </si>
  <si>
    <t>박성주</t>
  </si>
  <si>
    <t>날짜</t>
  </si>
  <si>
    <t>NO</t>
  </si>
  <si>
    <t>작업 제목</t>
  </si>
  <si>
    <t>작업자</t>
  </si>
  <si>
    <t>시작일</t>
  </si>
  <si>
    <t>종료일</t>
  </si>
  <si>
    <t>기간</t>
  </si>
  <si>
    <t>완료
비율</t>
  </si>
  <si>
    <t>완료조건</t>
  </si>
  <si>
    <t>산출물</t>
  </si>
  <si>
    <t>Epic(요구기능)</t>
  </si>
  <si>
    <t>기타</t>
  </si>
  <si>
    <t>Inception(착수)</t>
  </si>
  <si>
    <t>착수 단계 검토 완료</t>
  </si>
  <si>
    <t>착수 및 기획</t>
  </si>
  <si>
    <t>프로젝트 헌장</t>
  </si>
  <si>
    <t>공통</t>
  </si>
  <si>
    <t>요구사항 및 기능 범위 확정</t>
  </si>
  <si>
    <t>요구사항 정의서</t>
  </si>
  <si>
    <t>기획</t>
  </si>
  <si>
    <t>1.1.1</t>
  </si>
  <si>
    <t>프로젝트 헌장 수정</t>
  </si>
  <si>
    <t>피드백 반영 및 헌장 최종 승인</t>
  </si>
  <si>
    <t>최종 프로젝트 헌장</t>
  </si>
  <si>
    <t>조사</t>
  </si>
  <si>
    <t>DB / BE</t>
  </si>
  <si>
    <t>학내 공지사항 구조 분석</t>
  </si>
  <si>
    <t>데이터 분석 보고서</t>
  </si>
  <si>
    <t>데이터 분석</t>
  </si>
  <si>
    <t>예상</t>
  </si>
  <si>
    <t>개발 환경 구축 및 기술 스택 설정 완료</t>
  </si>
  <si>
    <t>기술 스택 명세서</t>
  </si>
  <si>
    <t>아키텍처</t>
  </si>
  <si>
    <t>이해당사자</t>
  </si>
  <si>
    <t>PM</t>
  </si>
  <si>
    <t>프로젝트 팀원 역할 분담 및 일정 확정</t>
  </si>
  <si>
    <t>WBS 및 마일스톤</t>
  </si>
  <si>
    <t>일정관리</t>
  </si>
  <si>
    <t>가이드라인</t>
  </si>
  <si>
    <t>Git 저장소, 브랜치 전략, 컨벤션 정의</t>
  </si>
  <si>
    <t>개발 가이드라인</t>
  </si>
  <si>
    <t>작업 규칙</t>
  </si>
  <si>
    <t>프로젝트 착수</t>
  </si>
  <si>
    <t>KICK-OFF 미팅 및 환경 구축 완료</t>
  </si>
  <si>
    <t>착수 보고서</t>
  </si>
  <si>
    <t>착수</t>
  </si>
  <si>
    <t>Sprint-#1</t>
  </si>
  <si>
    <t>데이터 파이프라인 개발 완료</t>
  </si>
  <si>
    <t>데이터 &amp; DB</t>
  </si>
  <si>
    <t>범위 및 목표 설정</t>
  </si>
  <si>
    <t>한성대 공지사항 웹 크롤러 구현</t>
  </si>
  <si>
    <t>크롤러 소스코드</t>
  </si>
  <si>
    <t>데이터 수집</t>
  </si>
  <si>
    <t>예산</t>
  </si>
  <si>
    <t>BE</t>
  </si>
  <si>
    <t>HWP, PDF, 이미지 OCR 파서 모듈 개발</t>
  </si>
  <si>
    <t>파일 파서 모듈</t>
  </si>
  <si>
    <t>문서 파싱/OCR</t>
  </si>
  <si>
    <t>커뮤니케이션 계획</t>
  </si>
  <si>
    <t>ChromaDB 임베딩 적재 파이프라인 구축</t>
  </si>
  <si>
    <t>VectorDB 인덱스</t>
  </si>
  <si>
    <t>임베딩/검색</t>
  </si>
  <si>
    <t>위험 관리</t>
  </si>
  <si>
    <t>BE/QA</t>
  </si>
  <si>
    <t>SSRF 방어 및 파일 파싱 예외 처리 완료</t>
  </si>
  <si>
    <t>보안 및 예외 모듈</t>
  </si>
  <si>
    <t>데이터 보안</t>
  </si>
  <si>
    <t>Sprint-#2</t>
  </si>
  <si>
    <t>백엔드 API &amp; RAG 엔진 구동</t>
  </si>
  <si>
    <t>백엔드 &amp; RAG</t>
  </si>
  <si>
    <t>상태 및 추적</t>
  </si>
  <si>
    <t>LangChain + Gemma-2-2B RAG 체인 구축</t>
  </si>
  <si>
    <t>RAG 코어 모듈</t>
  </si>
  <si>
    <t>AI/RAG 엔진</t>
  </si>
  <si>
    <t>KPI</t>
  </si>
  <si>
    <t>FastAPI 백엔드 REST API 구현 (/chat, /search)</t>
  </si>
  <si>
    <t>API 명세서 &amp; BE 코드</t>
  </si>
  <si>
    <t>REST API</t>
  </si>
  <si>
    <t>3.2.1</t>
  </si>
  <si>
    <t>모니터링</t>
  </si>
  <si>
    <t>Tesseract OCR 엔진 연동 및 테스트</t>
  </si>
  <si>
    <t>OCR 파이프라인</t>
  </si>
  <si>
    <t>OCR 엔진</t>
  </si>
  <si>
    <t>3.2.2</t>
  </si>
  <si>
    <t>예측</t>
  </si>
  <si>
    <t>검색 성능 최적화 및 ko-sroberta 임베딩 튜닝</t>
  </si>
  <si>
    <t>검색 파이프라인</t>
  </si>
  <si>
    <t xml:space="preserve">검색 최적화
</t>
  </si>
  <si>
    <t>프로젝트 업데이트</t>
  </si>
  <si>
    <t>FE/UI</t>
  </si>
  <si>
    <t>Streamlit / 모바일 웹 UI 화면 설계</t>
  </si>
  <si>
    <t>UI 레이아웃 코드</t>
  </si>
  <si>
    <t>FE 화면</t>
  </si>
  <si>
    <t>3.3.1</t>
  </si>
  <si>
    <t>차트 업데이트</t>
  </si>
  <si>
    <t>FE/BE</t>
  </si>
  <si>
    <t>FE-BE 연동 (자연어 질문, 요약 카드, 원문 링크)</t>
  </si>
  <si>
    <t>통합 웹 애플리케이션</t>
  </si>
  <si>
    <t>프론트 연동</t>
  </si>
  <si>
    <t>Retrospective(성과/모니터링)</t>
  </si>
  <si>
    <t>테스트, 배포 및 최종 발표</t>
  </si>
  <si>
    <t>마감 및 배포</t>
  </si>
  <si>
    <t>프로젝트 목표</t>
  </si>
  <si>
    <t>QA/BE</t>
  </si>
  <si>
    <t>API 및 RAG 답변 정확도 단위/통합 테스트</t>
  </si>
  <si>
    <t>테스트 결과 보고서</t>
  </si>
  <si>
    <t>QA 테스트</t>
  </si>
  <si>
    <t>결과물 품질</t>
  </si>
  <si>
    <t>Docker 컨테이너화 및 서버/HuggingFace 배포</t>
  </si>
  <si>
    <t>Dockerfile / 배포 서버</t>
  </si>
  <si>
    <t>CI/CD 배포</t>
  </si>
  <si>
    <t>노력 및 비용 추적</t>
  </si>
  <si>
    <t>PM/FE</t>
  </si>
  <si>
    <t>라이선스 표기 모달 및 UI/UX 보강</t>
  </si>
  <si>
    <t>오픈소스 라이선스 문서</t>
  </si>
  <si>
    <t>UX 고도화</t>
  </si>
  <si>
    <t>프로젝트 성과</t>
  </si>
  <si>
    <t>시연 영상 제작, PPT 최종 완료 및 성과 발표</t>
  </si>
  <si>
    <t>최종 발표 자료(PPT)</t>
  </si>
  <si>
    <t>프로젝트 마감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</si>
</sst>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년 &quot;m&quot;월 &quot;d&quot;일&quot;"/>
    <numFmt numFmtId="177" formatCode="m&quot;. &quot;d"/>
  </numFmts>
  <fonts count="23">
    <font>
      <sz val="10"/>
      <color rgb="FF000000"/>
      <name val="Arial"/>
    </font>
    <font>
      <sz val="11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b/>
      <sz val="10"/>
      <color rgb="FF666666"/>
      <name val="Roboto"/>
    </font>
    <font>
      <i/>
      <sz val="10"/>
      <color rgb="FF980000"/>
      <name val="Roboto"/>
    </font>
    <font>
      <sz val="10"/>
      <color rgb="FF999999"/>
      <name val="Roboto"/>
    </font>
    <font>
      <sz val="11"/>
      <color rgb="FF000000"/>
      <name val="Roboto"/>
    </font>
    <font>
      <b/>
      <sz val="10"/>
      <color rgb="FF000000"/>
      <name val="Roboto"/>
    </font>
    <font>
      <sz val="11"/>
      <name val="Roboto"/>
    </font>
    <font>
      <b/>
      <sz val="11"/>
      <color rgb="FF000000"/>
      <name val="Roboto"/>
    </font>
    <font>
      <b/>
      <i/>
      <sz val="11"/>
      <color rgb="FF434343"/>
      <name val="Roboto"/>
    </font>
    <font>
      <i/>
      <sz val="11"/>
      <color rgb="FF980000"/>
      <name val="Roboto"/>
    </font>
    <font>
      <sz val="10"/>
      <name val="Roboto"/>
    </font>
    <font>
      <sz val="10"/>
      <color rgb="FF434343"/>
      <name val="Roboto"/>
    </font>
    <font>
      <i/>
      <sz val="10"/>
      <color rgb="FFCC0000"/>
      <name val="Roboto"/>
    </font>
    <font>
      <i/>
      <sz val="10"/>
      <color rgb="FF434343"/>
      <name val="Roboto"/>
    </font>
    <font>
      <i/>
      <sz val="10"/>
      <color rgb="FFCC0000"/>
      <name val="Roboto"/>
      <charset val="1"/>
    </font>
    <font>
      <sz val="11"/>
      <color rgb="FF1F1F1F"/>
      <name val="Arial"/>
      <family val="2"/>
      <charset val="1"/>
    </font>
    <font>
      <sz val="10"/>
      <color rgb="FF980000"/>
      <name val="Roboto"/>
    </font>
    <font>
      <i/>
      <sz val="10"/>
      <color rgb="FF980000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3C79E"/>
        <bgColor rgb="FF73C79E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vertical="center" wrapText="1"/>
    </xf>
    <xf numFmtId="177" fontId="12" fillId="4" borderId="3" xfId="0" applyNumberFormat="1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right" vertical="center" wrapText="1"/>
    </xf>
    <xf numFmtId="0" fontId="14" fillId="4" borderId="3" xfId="0" applyFont="1" applyFill="1" applyBorder="1" applyAlignment="1">
      <alignment vertical="center" wrapText="1"/>
    </xf>
    <xf numFmtId="0" fontId="16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vertical="center" wrapText="1"/>
    </xf>
    <xf numFmtId="177" fontId="17" fillId="0" borderId="3" xfId="0" applyNumberFormat="1" applyFont="1" applyBorder="1" applyAlignment="1">
      <alignment horizontal="right" vertical="center" wrapText="1"/>
    </xf>
    <xf numFmtId="0" fontId="18" fillId="0" borderId="3" xfId="0" applyFont="1" applyBorder="1" applyAlignment="1">
      <alignment horizontal="center" vertical="center" wrapText="1"/>
    </xf>
    <xf numFmtId="9" fontId="16" fillId="0" borderId="3" xfId="0" applyNumberFormat="1" applyFont="1" applyBorder="1" applyAlignment="1">
      <alignment horizontal="right" vertical="center" wrapText="1"/>
    </xf>
    <xf numFmtId="9" fontId="16" fillId="3" borderId="3" xfId="0" applyNumberFormat="1" applyFont="1" applyFill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177" fontId="7" fillId="0" borderId="3" xfId="0" applyNumberFormat="1" applyFont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176" fontId="7" fillId="0" borderId="2" xfId="0" applyNumberFormat="1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5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8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L32"/>
  <sheetViews>
    <sheetView showGridLines="0" tabSelected="1" topLeftCell="A13" workbookViewId="0">
      <selection activeCell="E27" sqref="E27"/>
    </sheetView>
  </sheetViews>
  <sheetFormatPr defaultColWidth="12.5703125" defaultRowHeight="12.75" outlineLevelRow="1"/>
  <cols>
    <col min="1" max="1" width="3" style="23" customWidth="1"/>
    <col min="2" max="2" width="5.85546875" style="23" bestFit="1" customWidth="1"/>
    <col min="3" max="3" width="29.5703125" style="23" bestFit="1" customWidth="1"/>
    <col min="4" max="4" width="7.85546875" style="23" bestFit="1" customWidth="1"/>
    <col min="5" max="6" width="8.140625" style="23" bestFit="1" customWidth="1"/>
    <col min="7" max="7" width="8.5703125" style="23" hidden="1" customWidth="1"/>
    <col min="8" max="8" width="6.140625" style="23" bestFit="1" customWidth="1"/>
    <col min="9" max="9" width="35.5703125" style="23" bestFit="1" customWidth="1"/>
    <col min="10" max="10" width="18.42578125" style="23" bestFit="1" customWidth="1"/>
    <col min="11" max="11" width="13.85546875" style="23" bestFit="1" customWidth="1"/>
    <col min="12" max="12" width="5.42578125" style="23" bestFit="1" customWidth="1"/>
    <col min="13" max="16384" width="12.5703125" style="23"/>
  </cols>
  <sheetData>
    <row r="1" spans="1:12" ht="41.25">
      <c r="A1" s="20"/>
      <c r="B1" s="21" t="s">
        <v>0</v>
      </c>
      <c r="C1" s="39"/>
      <c r="D1" s="39"/>
      <c r="E1" s="39"/>
      <c r="F1" s="39"/>
      <c r="G1" s="39"/>
      <c r="H1" s="22"/>
      <c r="I1" s="17"/>
      <c r="J1" s="39"/>
      <c r="K1" s="39"/>
      <c r="L1" s="39"/>
    </row>
    <row r="2" spans="1:12" ht="21.75">
      <c r="A2" s="20"/>
      <c r="B2" s="24" t="s">
        <v>1</v>
      </c>
      <c r="C2" s="40"/>
      <c r="D2" s="25" t="s">
        <v>2</v>
      </c>
      <c r="E2" s="40"/>
      <c r="F2" s="40"/>
      <c r="G2" s="40"/>
      <c r="H2" s="26"/>
      <c r="I2" s="27" t="s">
        <v>3</v>
      </c>
      <c r="J2" s="28" t="s">
        <v>4</v>
      </c>
      <c r="K2" s="40"/>
      <c r="L2" s="40"/>
    </row>
    <row r="3" spans="1:12" ht="21.75">
      <c r="A3" s="20"/>
      <c r="B3" s="29" t="s">
        <v>5</v>
      </c>
      <c r="C3" s="41"/>
      <c r="D3" s="30" t="s">
        <v>6</v>
      </c>
      <c r="E3" s="41"/>
      <c r="F3" s="41"/>
      <c r="G3" s="41"/>
      <c r="H3" s="31"/>
      <c r="I3" s="32" t="s">
        <v>7</v>
      </c>
      <c r="J3" s="33">
        <v>46280</v>
      </c>
      <c r="K3" s="40"/>
      <c r="L3" s="40"/>
    </row>
    <row r="4" spans="1:12" ht="30">
      <c r="A4" s="34"/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2" t="s">
        <v>16</v>
      </c>
      <c r="K4" s="2" t="s">
        <v>17</v>
      </c>
      <c r="L4" s="2" t="s">
        <v>18</v>
      </c>
    </row>
    <row r="5" spans="1:12" ht="33">
      <c r="A5" s="35"/>
      <c r="B5" s="3">
        <v>1</v>
      </c>
      <c r="C5" s="4" t="s">
        <v>19</v>
      </c>
      <c r="D5" s="4"/>
      <c r="E5" s="5">
        <v>46280</v>
      </c>
      <c r="F5" s="5">
        <f>MAX(F6:F12)</f>
        <v>46287</v>
      </c>
      <c r="G5" s="6"/>
      <c r="H5" s="7" t="str">
        <f ca="1">IFERROR(__xludf.DUMMYFUNCTION("AI(""표 컨텍스트를 기반으로 이 셀에 적절한 값을 입력해 줘"")"),"70%")</f>
        <v>70%</v>
      </c>
      <c r="I5" s="8" t="s">
        <v>20</v>
      </c>
      <c r="J5" s="4"/>
      <c r="K5" s="4" t="s">
        <v>21</v>
      </c>
      <c r="L5" s="4"/>
    </row>
    <row r="6" spans="1:12" ht="14.25" outlineLevel="1">
      <c r="A6" s="36"/>
      <c r="B6" s="9">
        <v>1.1000000000000001</v>
      </c>
      <c r="C6" s="10" t="s">
        <v>22</v>
      </c>
      <c r="D6" s="10" t="s">
        <v>23</v>
      </c>
      <c r="E6" s="11">
        <v>46273</v>
      </c>
      <c r="F6" s="11">
        <v>46287</v>
      </c>
      <c r="G6" s="12">
        <f t="shared" ref="G6:G12" si="0">DAYS360(E6,F6)</f>
        <v>14</v>
      </c>
      <c r="H6" s="13">
        <v>1</v>
      </c>
      <c r="I6" s="15" t="s">
        <v>24</v>
      </c>
      <c r="J6" s="18" t="s">
        <v>25</v>
      </c>
      <c r="K6" s="18" t="s">
        <v>26</v>
      </c>
      <c r="L6" s="18"/>
    </row>
    <row r="7" spans="1:12" ht="30" outlineLevel="1">
      <c r="A7" s="36"/>
      <c r="B7" s="9" t="s">
        <v>27</v>
      </c>
      <c r="C7" s="10" t="s">
        <v>28</v>
      </c>
      <c r="D7" s="10" t="s">
        <v>23</v>
      </c>
      <c r="E7" s="11">
        <v>46280</v>
      </c>
      <c r="F7" s="11">
        <v>46287</v>
      </c>
      <c r="G7" s="12">
        <f t="shared" si="0"/>
        <v>7</v>
      </c>
      <c r="H7" s="13">
        <v>1</v>
      </c>
      <c r="I7" s="15" t="s">
        <v>29</v>
      </c>
      <c r="J7" s="18" t="s">
        <v>30</v>
      </c>
      <c r="K7" s="18" t="s">
        <v>26</v>
      </c>
      <c r="L7" s="18"/>
    </row>
    <row r="8" spans="1:12" ht="30" outlineLevel="1">
      <c r="A8" s="36"/>
      <c r="B8" s="9">
        <v>1.2</v>
      </c>
      <c r="C8" s="10" t="s">
        <v>31</v>
      </c>
      <c r="D8" s="42" t="s">
        <v>32</v>
      </c>
      <c r="E8" s="11">
        <v>46273</v>
      </c>
      <c r="F8" s="11">
        <v>46287</v>
      </c>
      <c r="G8" s="12">
        <f t="shared" si="0"/>
        <v>14</v>
      </c>
      <c r="H8" s="13">
        <v>1</v>
      </c>
      <c r="I8" s="15" t="s">
        <v>33</v>
      </c>
      <c r="J8" s="18" t="s">
        <v>34</v>
      </c>
      <c r="K8" s="18" t="s">
        <v>35</v>
      </c>
      <c r="L8" s="18"/>
    </row>
    <row r="9" spans="1:12" ht="30" outlineLevel="1">
      <c r="A9" s="36"/>
      <c r="B9" s="9">
        <v>1.3</v>
      </c>
      <c r="C9" s="10" t="s">
        <v>36</v>
      </c>
      <c r="D9" s="43" t="s">
        <v>23</v>
      </c>
      <c r="E9" s="11">
        <v>46273</v>
      </c>
      <c r="F9" s="11">
        <v>46287</v>
      </c>
      <c r="G9" s="12">
        <f t="shared" si="0"/>
        <v>14</v>
      </c>
      <c r="H9" s="14">
        <v>0.1</v>
      </c>
      <c r="I9" s="15" t="s">
        <v>37</v>
      </c>
      <c r="J9" s="18" t="s">
        <v>38</v>
      </c>
      <c r="K9" s="18" t="s">
        <v>39</v>
      </c>
      <c r="L9" s="18"/>
    </row>
    <row r="10" spans="1:12" ht="30" outlineLevel="1">
      <c r="A10" s="36"/>
      <c r="B10" s="9">
        <v>1.4</v>
      </c>
      <c r="C10" s="10" t="s">
        <v>40</v>
      </c>
      <c r="D10" s="10" t="s">
        <v>41</v>
      </c>
      <c r="E10" s="11">
        <v>46273</v>
      </c>
      <c r="F10" s="11">
        <v>46287</v>
      </c>
      <c r="G10" s="12">
        <f t="shared" si="0"/>
        <v>14</v>
      </c>
      <c r="H10" s="13">
        <v>0.7</v>
      </c>
      <c r="I10" s="15" t="s">
        <v>42</v>
      </c>
      <c r="J10" s="18" t="s">
        <v>43</v>
      </c>
      <c r="K10" s="18" t="s">
        <v>44</v>
      </c>
      <c r="L10" s="18"/>
    </row>
    <row r="11" spans="1:12" ht="14.25" outlineLevel="1">
      <c r="A11" s="36"/>
      <c r="B11" s="9">
        <v>1.5</v>
      </c>
      <c r="C11" s="10" t="s">
        <v>45</v>
      </c>
      <c r="D11" s="42" t="s">
        <v>23</v>
      </c>
      <c r="E11" s="11">
        <v>46280</v>
      </c>
      <c r="F11" s="11">
        <v>46287</v>
      </c>
      <c r="G11" s="12">
        <f t="shared" si="0"/>
        <v>7</v>
      </c>
      <c r="H11" s="13">
        <v>0.6</v>
      </c>
      <c r="I11" s="15" t="s">
        <v>46</v>
      </c>
      <c r="J11" s="18" t="s">
        <v>47</v>
      </c>
      <c r="K11" s="18" t="s">
        <v>48</v>
      </c>
      <c r="L11" s="18"/>
    </row>
    <row r="12" spans="1:12" ht="14.25" outlineLevel="1">
      <c r="A12" s="36"/>
      <c r="B12" s="9">
        <v>1.6</v>
      </c>
      <c r="C12" s="10" t="s">
        <v>49</v>
      </c>
      <c r="D12" s="43" t="s">
        <v>23</v>
      </c>
      <c r="E12" s="11">
        <v>46280</v>
      </c>
      <c r="F12" s="11">
        <v>46287</v>
      </c>
      <c r="G12" s="12">
        <f t="shared" si="0"/>
        <v>7</v>
      </c>
      <c r="H12" s="13">
        <v>0.5</v>
      </c>
      <c r="I12" s="15" t="s">
        <v>50</v>
      </c>
      <c r="J12" s="18" t="s">
        <v>51</v>
      </c>
      <c r="K12" s="18" t="s">
        <v>52</v>
      </c>
      <c r="L12" s="18"/>
    </row>
    <row r="13" spans="1:12" ht="16.5">
      <c r="A13" s="35"/>
      <c r="B13" s="3">
        <v>2</v>
      </c>
      <c r="C13" s="4" t="s">
        <v>53</v>
      </c>
      <c r="D13" s="4"/>
      <c r="E13" s="5">
        <f>MIN(E14:E17)</f>
        <v>46287</v>
      </c>
      <c r="F13" s="5">
        <f>MAX(F14:F17)</f>
        <v>46294</v>
      </c>
      <c r="G13" s="6"/>
      <c r="H13" s="7" t="str">
        <f ca="1">IFERROR(__xludf.DUMMYFUNCTION("AI(""표 컨텍스트를 기반으로 이 셀에 적절한 값을 입력해 줘"")"),"19%")</f>
        <v>19%</v>
      </c>
      <c r="I13" s="8" t="s">
        <v>54</v>
      </c>
      <c r="J13" s="4"/>
      <c r="K13" s="4" t="s">
        <v>55</v>
      </c>
      <c r="L13" s="4"/>
    </row>
    <row r="14" spans="1:12" ht="14.25" outlineLevel="1">
      <c r="A14" s="36"/>
      <c r="B14" s="9">
        <v>2.1</v>
      </c>
      <c r="C14" s="15" t="s">
        <v>56</v>
      </c>
      <c r="D14" s="15" t="s">
        <v>32</v>
      </c>
      <c r="E14" s="16">
        <v>46287</v>
      </c>
      <c r="F14" s="16">
        <v>46294</v>
      </c>
      <c r="G14" s="12">
        <f t="shared" ref="G14:G17" si="1">DAYS360(E14,F14)</f>
        <v>7</v>
      </c>
      <c r="H14" s="13">
        <v>0.22</v>
      </c>
      <c r="I14" s="15" t="s">
        <v>57</v>
      </c>
      <c r="J14" s="18" t="s">
        <v>58</v>
      </c>
      <c r="K14" s="18" t="s">
        <v>59</v>
      </c>
      <c r="L14" s="18"/>
    </row>
    <row r="15" spans="1:12" ht="27.75" outlineLevel="1">
      <c r="A15" s="36"/>
      <c r="B15" s="9">
        <v>2.2000000000000002</v>
      </c>
      <c r="C15" s="15" t="s">
        <v>60</v>
      </c>
      <c r="D15" s="15" t="s">
        <v>61</v>
      </c>
      <c r="E15" s="16">
        <v>46287</v>
      </c>
      <c r="F15" s="16">
        <v>46294</v>
      </c>
      <c r="G15" s="12">
        <f t="shared" si="1"/>
        <v>7</v>
      </c>
      <c r="H15" s="13">
        <v>0.16</v>
      </c>
      <c r="I15" s="15" t="s">
        <v>62</v>
      </c>
      <c r="J15" s="18" t="s">
        <v>63</v>
      </c>
      <c r="K15" s="18" t="s">
        <v>64</v>
      </c>
      <c r="L15" s="18"/>
    </row>
    <row r="16" spans="1:12" ht="30" outlineLevel="1">
      <c r="A16" s="36"/>
      <c r="B16" s="9">
        <v>2.2999999999999998</v>
      </c>
      <c r="C16" s="15" t="s">
        <v>65</v>
      </c>
      <c r="D16" s="15" t="s">
        <v>32</v>
      </c>
      <c r="E16" s="16">
        <v>46287</v>
      </c>
      <c r="F16" s="16">
        <v>46294</v>
      </c>
      <c r="G16" s="12">
        <f t="shared" si="1"/>
        <v>7</v>
      </c>
      <c r="H16" s="13">
        <v>0</v>
      </c>
      <c r="I16" s="15" t="s">
        <v>66</v>
      </c>
      <c r="J16" s="18" t="s">
        <v>67</v>
      </c>
      <c r="K16" s="18" t="s">
        <v>68</v>
      </c>
      <c r="L16" s="18"/>
    </row>
    <row r="17" spans="1:12" ht="30" outlineLevel="1">
      <c r="A17" s="36"/>
      <c r="B17" s="9">
        <v>2.4</v>
      </c>
      <c r="C17" s="15" t="s">
        <v>69</v>
      </c>
      <c r="D17" s="15" t="s">
        <v>70</v>
      </c>
      <c r="E17" s="16">
        <v>46287</v>
      </c>
      <c r="F17" s="16">
        <v>46294</v>
      </c>
      <c r="G17" s="12">
        <f t="shared" si="1"/>
        <v>7</v>
      </c>
      <c r="H17" s="14">
        <v>0</v>
      </c>
      <c r="I17" s="15" t="s">
        <v>71</v>
      </c>
      <c r="J17" s="18" t="s">
        <v>72</v>
      </c>
      <c r="K17" s="18" t="s">
        <v>73</v>
      </c>
      <c r="L17" s="18"/>
    </row>
    <row r="18" spans="1:12" ht="31.5">
      <c r="A18" s="35"/>
      <c r="B18" s="3">
        <v>3</v>
      </c>
      <c r="C18" s="4" t="s">
        <v>74</v>
      </c>
      <c r="D18" s="4"/>
      <c r="E18" s="5">
        <f>MIN(E19:E24)</f>
        <v>46296</v>
      </c>
      <c r="F18" s="5">
        <f>MAX(F19:F24)</f>
        <v>46305</v>
      </c>
      <c r="G18" s="6"/>
      <c r="H18" s="7" t="str">
        <f ca="1">IFERROR(__xludf.DUMMYFUNCTION("AI(""표 컨텍스트를 기반으로 이 셀에 적절한 값을 입력해 줘"")"),"0%")</f>
        <v>0%</v>
      </c>
      <c r="I18" s="8" t="s">
        <v>75</v>
      </c>
      <c r="J18" s="4"/>
      <c r="K18" s="4" t="s">
        <v>76</v>
      </c>
      <c r="L18" s="4"/>
    </row>
    <row r="19" spans="1:12" ht="30" outlineLevel="1">
      <c r="A19" s="36"/>
      <c r="B19" s="9">
        <v>3.1</v>
      </c>
      <c r="C19" s="15" t="s">
        <v>77</v>
      </c>
      <c r="D19" s="15" t="s">
        <v>61</v>
      </c>
      <c r="E19" s="16">
        <v>46296</v>
      </c>
      <c r="F19" s="16">
        <v>46305</v>
      </c>
      <c r="G19" s="12">
        <f t="shared" ref="G19:G24" si="2">DAYS360(E19,F19)</f>
        <v>9</v>
      </c>
      <c r="H19" s="13">
        <v>0</v>
      </c>
      <c r="I19" s="15" t="s">
        <v>78</v>
      </c>
      <c r="J19" s="18" t="s">
        <v>79</v>
      </c>
      <c r="K19" s="18" t="s">
        <v>80</v>
      </c>
      <c r="L19" s="18"/>
    </row>
    <row r="20" spans="1:12" ht="30" outlineLevel="1">
      <c r="A20" s="36"/>
      <c r="B20" s="9">
        <v>3.2</v>
      </c>
      <c r="C20" s="15" t="s">
        <v>81</v>
      </c>
      <c r="D20" s="15" t="s">
        <v>61</v>
      </c>
      <c r="E20" s="16">
        <v>46296</v>
      </c>
      <c r="F20" s="16">
        <v>46305</v>
      </c>
      <c r="G20" s="12">
        <f t="shared" si="2"/>
        <v>9</v>
      </c>
      <c r="H20" s="13">
        <v>0</v>
      </c>
      <c r="I20" s="15" t="s">
        <v>82</v>
      </c>
      <c r="J20" s="18" t="s">
        <v>83</v>
      </c>
      <c r="K20" s="18" t="s">
        <v>84</v>
      </c>
      <c r="L20" s="18"/>
    </row>
    <row r="21" spans="1:12" ht="14.25" outlineLevel="1">
      <c r="A21" s="36"/>
      <c r="B21" s="9" t="s">
        <v>85</v>
      </c>
      <c r="C21" s="15" t="s">
        <v>86</v>
      </c>
      <c r="D21" s="15" t="s">
        <v>70</v>
      </c>
      <c r="E21" s="16">
        <v>46296</v>
      </c>
      <c r="F21" s="16">
        <v>46305</v>
      </c>
      <c r="G21" s="12">
        <f t="shared" si="2"/>
        <v>9</v>
      </c>
      <c r="H21" s="13">
        <v>0</v>
      </c>
      <c r="I21" s="15" t="s">
        <v>87</v>
      </c>
      <c r="J21" s="18" t="s">
        <v>88</v>
      </c>
      <c r="K21" s="18" t="s">
        <v>89</v>
      </c>
      <c r="L21" s="18"/>
    </row>
    <row r="22" spans="1:12" ht="30" outlineLevel="1">
      <c r="A22" s="36"/>
      <c r="B22" s="9" t="s">
        <v>90</v>
      </c>
      <c r="C22" s="15" t="s">
        <v>91</v>
      </c>
      <c r="D22" s="45" t="s">
        <v>61</v>
      </c>
      <c r="E22" s="16">
        <v>46296</v>
      </c>
      <c r="F22" s="16">
        <v>46305</v>
      </c>
      <c r="G22" s="12">
        <f t="shared" si="2"/>
        <v>9</v>
      </c>
      <c r="H22" s="14">
        <v>0</v>
      </c>
      <c r="I22" s="15" t="s">
        <v>92</v>
      </c>
      <c r="J22" s="18" t="s">
        <v>93</v>
      </c>
      <c r="K22" s="18" t="s">
        <v>94</v>
      </c>
      <c r="L22" s="18"/>
    </row>
    <row r="23" spans="1:12" ht="14.25" outlineLevel="1">
      <c r="A23" s="36"/>
      <c r="B23" s="9">
        <v>3.3</v>
      </c>
      <c r="C23" s="15" t="s">
        <v>95</v>
      </c>
      <c r="D23" s="45" t="s">
        <v>96</v>
      </c>
      <c r="E23" s="16">
        <v>46296</v>
      </c>
      <c r="F23" s="16">
        <v>46305</v>
      </c>
      <c r="G23" s="12">
        <f t="shared" si="2"/>
        <v>9</v>
      </c>
      <c r="H23" s="13">
        <v>0</v>
      </c>
      <c r="I23" s="15" t="s">
        <v>97</v>
      </c>
      <c r="J23" s="18" t="s">
        <v>98</v>
      </c>
      <c r="K23" s="18" t="s">
        <v>99</v>
      </c>
      <c r="L23" s="18"/>
    </row>
    <row r="24" spans="1:12" ht="30" outlineLevel="1">
      <c r="A24" s="36"/>
      <c r="B24" s="9" t="s">
        <v>100</v>
      </c>
      <c r="C24" s="15" t="s">
        <v>101</v>
      </c>
      <c r="D24" s="44" t="s">
        <v>102</v>
      </c>
      <c r="E24" s="16">
        <v>46296</v>
      </c>
      <c r="F24" s="16">
        <v>46305</v>
      </c>
      <c r="G24" s="12">
        <f t="shared" si="2"/>
        <v>9</v>
      </c>
      <c r="H24" s="13">
        <v>0</v>
      </c>
      <c r="I24" s="38" t="s">
        <v>103</v>
      </c>
      <c r="J24" s="18" t="s">
        <v>104</v>
      </c>
      <c r="K24" s="18" t="s">
        <v>105</v>
      </c>
      <c r="L24" s="18"/>
    </row>
    <row r="25" spans="1:12" ht="33">
      <c r="A25" s="35"/>
      <c r="B25" s="3">
        <v>4</v>
      </c>
      <c r="C25" s="4" t="s">
        <v>106</v>
      </c>
      <c r="D25" s="4"/>
      <c r="E25" s="5">
        <f>MIN(E26:E29)</f>
        <v>46306</v>
      </c>
      <c r="F25" s="5">
        <f>MAX(F26:F29)</f>
        <v>46312</v>
      </c>
      <c r="G25" s="6"/>
      <c r="H25" s="7" t="str">
        <f ca="1">IFERROR(__xludf.DUMMYFUNCTION("AI(""표 컨텍스트를 기반으로 이 셀에 적절한 값을 입력해 줘"")"),"0%")</f>
        <v>0%</v>
      </c>
      <c r="I25" s="8" t="s">
        <v>107</v>
      </c>
      <c r="J25" s="4"/>
      <c r="K25" s="4" t="s">
        <v>108</v>
      </c>
      <c r="L25" s="4"/>
    </row>
    <row r="26" spans="1:12" ht="30" outlineLevel="1">
      <c r="A26" s="36"/>
      <c r="B26" s="9">
        <v>4.0999999999999996</v>
      </c>
      <c r="C26" s="15" t="s">
        <v>109</v>
      </c>
      <c r="D26" s="15" t="s">
        <v>110</v>
      </c>
      <c r="E26" s="16">
        <v>46306</v>
      </c>
      <c r="F26" s="16">
        <v>46311</v>
      </c>
      <c r="G26" s="12">
        <f t="shared" ref="G26:G29" si="3">DAYS360(E26,F26)</f>
        <v>5</v>
      </c>
      <c r="H26" s="13">
        <v>0</v>
      </c>
      <c r="I26" s="38" t="s">
        <v>111</v>
      </c>
      <c r="J26" s="18" t="s">
        <v>112</v>
      </c>
      <c r="K26" s="18" t="s">
        <v>113</v>
      </c>
      <c r="L26" s="18"/>
    </row>
    <row r="27" spans="1:12" ht="30" outlineLevel="1">
      <c r="A27" s="36"/>
      <c r="B27" s="9">
        <v>4.2</v>
      </c>
      <c r="C27" s="15" t="s">
        <v>114</v>
      </c>
      <c r="D27" s="15" t="s">
        <v>23</v>
      </c>
      <c r="E27" s="16">
        <v>46306</v>
      </c>
      <c r="F27" s="16">
        <v>46312</v>
      </c>
      <c r="G27" s="12">
        <f t="shared" si="3"/>
        <v>6</v>
      </c>
      <c r="H27" s="13">
        <v>0</v>
      </c>
      <c r="I27" s="38" t="s">
        <v>115</v>
      </c>
      <c r="J27" s="18" t="s">
        <v>116</v>
      </c>
      <c r="K27" s="18" t="s">
        <v>117</v>
      </c>
      <c r="L27" s="18"/>
    </row>
    <row r="28" spans="1:12" ht="30" outlineLevel="1">
      <c r="A28" s="36"/>
      <c r="B28" s="9">
        <v>4.3</v>
      </c>
      <c r="C28" s="15" t="s">
        <v>118</v>
      </c>
      <c r="D28" s="15" t="s">
        <v>119</v>
      </c>
      <c r="E28" s="16">
        <v>46309</v>
      </c>
      <c r="F28" s="16">
        <v>46312</v>
      </c>
      <c r="G28" s="12">
        <f t="shared" si="3"/>
        <v>3</v>
      </c>
      <c r="H28" s="13">
        <v>0</v>
      </c>
      <c r="I28" s="38" t="s">
        <v>120</v>
      </c>
      <c r="J28" s="18" t="s">
        <v>121</v>
      </c>
      <c r="K28" s="18" t="s">
        <v>122</v>
      </c>
      <c r="L28" s="18"/>
    </row>
    <row r="29" spans="1:12" ht="30.75" outlineLevel="1">
      <c r="A29" s="36"/>
      <c r="B29" s="9">
        <v>4.4000000000000004</v>
      </c>
      <c r="C29" s="15" t="s">
        <v>123</v>
      </c>
      <c r="D29" s="15" t="s">
        <v>23</v>
      </c>
      <c r="E29" s="16">
        <v>46309</v>
      </c>
      <c r="F29" s="16">
        <v>46312</v>
      </c>
      <c r="G29" s="12">
        <f t="shared" si="3"/>
        <v>3</v>
      </c>
      <c r="H29" s="14">
        <v>0</v>
      </c>
      <c r="I29" s="38" t="s">
        <v>124</v>
      </c>
      <c r="J29" s="19" t="s">
        <v>125</v>
      </c>
      <c r="K29" s="18" t="s">
        <v>126</v>
      </c>
      <c r="L29" s="18"/>
    </row>
    <row r="30" spans="1:12" ht="15">
      <c r="A30" s="35"/>
      <c r="B30" s="35"/>
      <c r="C30" s="35"/>
      <c r="D30" s="35"/>
      <c r="E30" s="35"/>
      <c r="F30" s="35"/>
      <c r="G30" s="37"/>
      <c r="H30" s="37"/>
      <c r="I30" s="35"/>
      <c r="J30" s="35"/>
      <c r="K30" s="35"/>
      <c r="L30" s="35"/>
    </row>
    <row r="31" spans="1:12" ht="15">
      <c r="A31" s="35"/>
      <c r="B31" s="35"/>
      <c r="C31" s="35"/>
      <c r="D31" s="35"/>
      <c r="E31" s="35"/>
      <c r="F31" s="35"/>
      <c r="G31" s="37"/>
      <c r="H31" s="37"/>
      <c r="I31" s="35"/>
      <c r="J31" s="35"/>
      <c r="K31" s="35"/>
      <c r="L31" s="35"/>
    </row>
    <row r="32" spans="1:12" ht="15">
      <c r="A32" s="35"/>
      <c r="B32" s="35"/>
      <c r="C32" s="35"/>
      <c r="D32" s="35"/>
      <c r="E32" s="35"/>
      <c r="F32" s="35"/>
      <c r="G32" s="37"/>
      <c r="H32" s="37"/>
      <c r="I32" s="35"/>
      <c r="J32" s="35"/>
      <c r="K32" s="35"/>
      <c r="L32" s="35"/>
    </row>
  </sheetData>
  <mergeCells count="8">
    <mergeCell ref="B3:C3"/>
    <mergeCell ref="D3:G3"/>
    <mergeCell ref="J3:L3"/>
    <mergeCell ref="B1:G1"/>
    <mergeCell ref="I1:L1"/>
    <mergeCell ref="B2:C2"/>
    <mergeCell ref="D2:G2"/>
    <mergeCell ref="J2:L2"/>
  </mergeCells>
  <conditionalFormatting sqref="H5:H29">
    <cfRule type="colorScale" priority="1">
      <colorScale>
        <cfvo type="min"/>
        <cfvo type="max"/>
        <color rgb="FFFFFFFF"/>
        <color rgb="FF3C78D8"/>
      </colorScale>
    </cfRule>
  </conditionalFormatting>
  <conditionalFormatting sqref="H6:H12 H14:H29">
    <cfRule type="colorScale" priority="2">
      <colorScale>
        <cfvo type="min"/>
        <cfvo type="max"/>
        <color rgb="FF57BB8A"/>
        <color rgb="FFFFFFFF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2026-09-19T05:12:56Z</dcterms:created>
  <dcterms:modified xsi:type="dcterms:W3CDTF">2026-09-19T05:12:56Z</dcterms:modified>
  <cp:category/>
  <cp:contentStatus/>
</cp:coreProperties>
</file>